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tuh\Desktop\"/>
    </mc:Choice>
  </mc:AlternateContent>
  <xr:revisionPtr revIDLastSave="0" documentId="13_ncr:1_{CA26D79A-BA81-4920-8F2A-447F544A26DC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  <sheet name="Mail_List" sheetId="2" r:id="rId2"/>
  </sheets>
  <definedNames>
    <definedName name="_xlnm._FilterDatabase" localSheetId="1" hidden="1">Mail_List!$D$1:$D$7</definedName>
    <definedName name="Mail_List">Mail_List!$A:$A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" l="1"/>
  <c r="D15" i="1"/>
  <c r="D16" i="1"/>
  <c r="E9" i="1" l="1"/>
  <c r="D19" i="1"/>
  <c r="D18" i="1"/>
  <c r="D14" i="1"/>
  <c r="D13" i="1"/>
  <c r="D12" i="1"/>
  <c r="D11" i="1"/>
  <c r="D10" i="1"/>
  <c r="D9" i="1"/>
  <c r="E17" i="1"/>
  <c r="E18" i="1"/>
  <c r="E10" i="1"/>
  <c r="E19" i="1"/>
  <c r="E14" i="1"/>
  <c r="E11" i="1"/>
  <c r="E13" i="1"/>
  <c r="E12" i="1"/>
  <c r="E15" i="1"/>
  <c r="E16" i="1"/>
</calcChain>
</file>

<file path=xl/sharedStrings.xml><?xml version="1.0" encoding="utf-8"?>
<sst xmlns="http://schemas.openxmlformats.org/spreadsheetml/2006/main" count="19" uniqueCount="19">
  <si>
    <t>S(21-50 M/D)</t>
  </si>
  <si>
    <t>HH_HH_HHH</t>
  </si>
  <si>
    <t>UU_UU_UUU</t>
  </si>
  <si>
    <t>example@mail.com</t>
  </si>
  <si>
    <t>Project Name</t>
  </si>
  <si>
    <t>T-Size Cost</t>
  </si>
  <si>
    <t>Vendor Cost</t>
  </si>
  <si>
    <t>Company Cost</t>
  </si>
  <si>
    <t>UAT Packages</t>
  </si>
  <si>
    <t>PreProd Packages</t>
  </si>
  <si>
    <t>How to Copy Path</t>
  </si>
  <si>
    <r>
      <t xml:space="preserve">To
</t>
    </r>
    <r>
      <rPr>
        <i/>
        <sz val="11"/>
        <color theme="1"/>
        <rFont val="Calibri"/>
        <family val="2"/>
        <charset val="162"/>
        <scheme val="minor"/>
      </rPr>
      <t>(Please select the people that the mail will be sent. With every click you can add another recipient. If you add a wrong email you should start from scratch )</t>
    </r>
  </si>
  <si>
    <r>
      <t xml:space="preserve">CC
</t>
    </r>
    <r>
      <rPr>
        <i/>
        <sz val="11"/>
        <color theme="1"/>
        <rFont val="Calibri"/>
        <family val="2"/>
        <charset val="162"/>
        <scheme val="minor"/>
      </rPr>
      <t>(Please select the people that will be in the CC. With every click you can add another recipient. If you add a wrong email you should start from scratch)</t>
    </r>
  </si>
  <si>
    <r>
      <t xml:space="preserve">BCC
</t>
    </r>
    <r>
      <rPr>
        <i/>
        <sz val="11"/>
        <color theme="1"/>
        <rFont val="Calibri"/>
        <family val="2"/>
        <charset val="162"/>
        <scheme val="minor"/>
      </rPr>
      <t>(Please select the people that will be in the BCC. With every click you can add another recipient. If you add a wrong email you should start from scratch )</t>
    </r>
  </si>
  <si>
    <r>
      <t>Mail Subject
(</t>
    </r>
    <r>
      <rPr>
        <i/>
        <sz val="11"/>
        <color theme="1"/>
        <rFont val="Calibri"/>
        <family val="2"/>
        <charset val="162"/>
        <scheme val="minor"/>
      </rPr>
      <t>Automatically generated)</t>
    </r>
  </si>
  <si>
    <r>
      <t xml:space="preserve">Mail Body
</t>
    </r>
    <r>
      <rPr>
        <i/>
        <sz val="11"/>
        <color theme="1"/>
        <rFont val="Calibri"/>
        <family val="2"/>
        <charset val="162"/>
        <scheme val="minor"/>
      </rPr>
      <t>(Automaically generated)</t>
    </r>
  </si>
  <si>
    <r>
      <t xml:space="preserve">Attachment 1
</t>
    </r>
    <r>
      <rPr>
        <i/>
        <sz val="11"/>
        <color theme="1"/>
        <rFont val="Calibri"/>
        <family val="2"/>
        <charset val="162"/>
        <scheme val="minor"/>
      </rPr>
      <t>( Path of the attachment)</t>
    </r>
  </si>
  <si>
    <r>
      <t xml:space="preserve">Attachment 2
</t>
    </r>
    <r>
      <rPr>
        <i/>
        <sz val="11"/>
        <color theme="1"/>
        <rFont val="Calibri"/>
        <family val="2"/>
        <charset val="162"/>
        <scheme val="minor"/>
      </rPr>
      <t>( Path of the attachment)</t>
    </r>
  </si>
  <si>
    <r>
      <t>After selecting the item you need, right click on it then click on "</t>
    </r>
    <r>
      <rPr>
        <b/>
        <sz val="11"/>
        <color theme="1"/>
        <rFont val="Calibri"/>
        <family val="2"/>
        <scheme val="minor"/>
      </rPr>
      <t>Copy as Path</t>
    </r>
    <r>
      <rPr>
        <sz val="11"/>
        <color theme="1"/>
        <rFont val="Calibri"/>
        <family val="2"/>
        <charset val="162"/>
        <scheme val="minor"/>
      </rPr>
      <t>" option.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</si>
</sst>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center" wrapText="1"/>
    </xf>
    <xf numFmtId="0" fontId="1" fillId="2" borderId="0" xfId="0" applyFont="1" applyFill="1" applyAlignment="1">
      <alignment horizontal="center" vertical="center" wrapText="1"/>
    </xf>
    <xf numFmtId="0" fontId="4" fillId="0" borderId="0" xfId="1"/>
    <xf numFmtId="0" fontId="0" fillId="0" borderId="0" xfId="0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1876424</xdr:colOff>
      <xdr:row>8</xdr:row>
      <xdr:rowOff>66675</xdr:rowOff>
    </xdr:from>
    <xdr:to>
      <xdr:col>11</xdr:col>
      <xdr:colOff>19049</xdr:colOff>
      <xdr:row>8</xdr:row>
      <xdr:rowOff>904874</xdr:rowOff>
    </xdr:to>
    <xdr:sp macro="[0]!ThisWorkbook.Send_tsize_cost_mail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487774" y="1590675"/>
          <a:ext cx="2466975" cy="8381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Send </a:t>
          </a:r>
          <a:r>
            <a:rPr lang="tr-TR" sz="1800"/>
            <a:t>T-Size </a:t>
          </a:r>
          <a:r>
            <a:rPr lang="en-US" sz="1800"/>
            <a:t>Cost Approval M</a:t>
          </a:r>
          <a:r>
            <a:rPr lang="tr-TR" sz="1800" baseline="0"/>
            <a:t>ail</a:t>
          </a:r>
          <a:endParaRPr lang="en-US" sz="1800" baseline="0"/>
        </a:p>
      </xdr:txBody>
    </xdr:sp>
    <xdr:clientData/>
  </xdr:twoCellAnchor>
  <xdr:twoCellAnchor>
    <xdr:from>
      <xdr:col>7</xdr:col>
      <xdr:colOff>0</xdr:colOff>
      <xdr:row>9</xdr:row>
      <xdr:rowOff>123826</xdr:rowOff>
    </xdr:from>
    <xdr:to>
      <xdr:col>10</xdr:col>
      <xdr:colOff>600075</xdr:colOff>
      <xdr:row>9</xdr:row>
      <xdr:rowOff>857250</xdr:rowOff>
    </xdr:to>
    <xdr:sp macro="[0]!ThisWorkbook.Send_cost_approval_mail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97300" y="2600326"/>
          <a:ext cx="2428875" cy="7334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Send</a:t>
          </a:r>
          <a:r>
            <a:rPr lang="en-US" sz="1800" baseline="0"/>
            <a:t> Cost Approval Mail</a:t>
          </a:r>
          <a:endParaRPr lang="tr-TR" sz="1800"/>
        </a:p>
      </xdr:txBody>
    </xdr:sp>
    <xdr:clientData/>
  </xdr:twoCellAnchor>
  <xdr:twoCellAnchor>
    <xdr:from>
      <xdr:col>7</xdr:col>
      <xdr:colOff>19051</xdr:colOff>
      <xdr:row>10</xdr:row>
      <xdr:rowOff>85725</xdr:rowOff>
    </xdr:from>
    <xdr:to>
      <xdr:col>11</xdr:col>
      <xdr:colOff>9525</xdr:colOff>
      <xdr:row>10</xdr:row>
      <xdr:rowOff>923925</xdr:rowOff>
    </xdr:to>
    <xdr:sp macro="[0]!ThisWorkbook.Send_analysis_approval_mail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516351" y="3514725"/>
          <a:ext cx="2428874" cy="838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Analysis Approval Mail</a:t>
          </a:r>
          <a:endParaRPr lang="tr-TR" sz="1800" baseline="0"/>
        </a:p>
      </xdr:txBody>
    </xdr:sp>
    <xdr:clientData/>
  </xdr:twoCellAnchor>
  <xdr:twoCellAnchor>
    <xdr:from>
      <xdr:col>7</xdr:col>
      <xdr:colOff>28575</xdr:colOff>
      <xdr:row>13</xdr:row>
      <xdr:rowOff>76200</xdr:rowOff>
    </xdr:from>
    <xdr:to>
      <xdr:col>10</xdr:col>
      <xdr:colOff>571500</xdr:colOff>
      <xdr:row>13</xdr:row>
      <xdr:rowOff>857250</xdr:rowOff>
    </xdr:to>
    <xdr:sp macro="[0]!ThisWorkbook.Send_uat_beginning_mail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6525875" y="4457700"/>
          <a:ext cx="2371725" cy="781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</a:t>
          </a:r>
          <a:r>
            <a:rPr lang="tr-TR" sz="1800" baseline="0"/>
            <a:t>UAT </a:t>
          </a:r>
          <a:r>
            <a:rPr lang="en-US" sz="1800" baseline="0"/>
            <a:t>Beginning </a:t>
          </a:r>
          <a:r>
            <a:rPr lang="tr-TR" sz="1800" baseline="0"/>
            <a:t>Mail</a:t>
          </a:r>
        </a:p>
      </xdr:txBody>
    </xdr:sp>
    <xdr:clientData/>
  </xdr:twoCellAnchor>
  <xdr:twoCellAnchor>
    <xdr:from>
      <xdr:col>6</xdr:col>
      <xdr:colOff>1866900</xdr:colOff>
      <xdr:row>11</xdr:row>
      <xdr:rowOff>0</xdr:rowOff>
    </xdr:from>
    <xdr:to>
      <xdr:col>10</xdr:col>
      <xdr:colOff>523875</xdr:colOff>
      <xdr:row>11</xdr:row>
      <xdr:rowOff>781050</xdr:rowOff>
    </xdr:to>
    <xdr:sp macro="[0]!ThisWorkbook.Send_uat_package_download_mail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6478250" y="5334000"/>
          <a:ext cx="2371725" cy="781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</a:t>
          </a:r>
          <a:r>
            <a:rPr lang="tr-TR" sz="1800" baseline="0"/>
            <a:t>UAT Pa</a:t>
          </a:r>
          <a:r>
            <a:rPr lang="en-US" sz="1800" baseline="0"/>
            <a:t>ckage Download</a:t>
          </a:r>
          <a:r>
            <a:rPr lang="tr-TR" sz="1800" baseline="0"/>
            <a:t> Mai</a:t>
          </a:r>
          <a:r>
            <a:rPr lang="en-US" sz="1800" baseline="0"/>
            <a:t>l</a:t>
          </a:r>
          <a:endParaRPr lang="tr-TR" sz="1800" baseline="0"/>
        </a:p>
      </xdr:txBody>
    </xdr:sp>
    <xdr:clientData/>
  </xdr:twoCellAnchor>
  <xdr:twoCellAnchor>
    <xdr:from>
      <xdr:col>7</xdr:col>
      <xdr:colOff>9525</xdr:colOff>
      <xdr:row>12</xdr:row>
      <xdr:rowOff>76201</xdr:rowOff>
    </xdr:from>
    <xdr:to>
      <xdr:col>10</xdr:col>
      <xdr:colOff>552450</xdr:colOff>
      <xdr:row>12</xdr:row>
      <xdr:rowOff>847725</xdr:rowOff>
    </xdr:to>
    <xdr:sp macro="[0]!ThisWorkbook.Send_uat_package_deploy_mail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506825" y="6334126"/>
          <a:ext cx="2371725" cy="7715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</a:t>
          </a:r>
          <a:r>
            <a:rPr lang="tr-TR" sz="1800" baseline="0"/>
            <a:t>UAT Pa</a:t>
          </a:r>
          <a:r>
            <a:rPr lang="en-US" sz="1800" baseline="0"/>
            <a:t>ckage Deployment Mail</a:t>
          </a:r>
          <a:endParaRPr lang="tr-TR" sz="1800" baseline="0"/>
        </a:p>
      </xdr:txBody>
    </xdr:sp>
    <xdr:clientData/>
  </xdr:twoCellAnchor>
  <xdr:twoCellAnchor>
    <xdr:from>
      <xdr:col>7</xdr:col>
      <xdr:colOff>28575</xdr:colOff>
      <xdr:row>15</xdr:row>
      <xdr:rowOff>38101</xdr:rowOff>
    </xdr:from>
    <xdr:to>
      <xdr:col>10</xdr:col>
      <xdr:colOff>571500</xdr:colOff>
      <xdr:row>16</xdr:row>
      <xdr:rowOff>0</xdr:rowOff>
    </xdr:to>
    <xdr:sp macro="[0]!ThisWorkbook.Send_preprod_package_download_mail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525875" y="7277101"/>
          <a:ext cx="2371725" cy="7715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</a:t>
          </a:r>
          <a:r>
            <a:rPr lang="tr-TR" sz="1800" baseline="0"/>
            <a:t>PreProd Pa</a:t>
          </a:r>
          <a:r>
            <a:rPr lang="en-US" sz="1800" baseline="0"/>
            <a:t>ckages Dowload </a:t>
          </a:r>
          <a:r>
            <a:rPr lang="tr-TR" sz="1800" baseline="0"/>
            <a:t>Mail</a:t>
          </a:r>
        </a:p>
      </xdr:txBody>
    </xdr:sp>
    <xdr:clientData/>
  </xdr:twoCellAnchor>
  <xdr:twoCellAnchor>
    <xdr:from>
      <xdr:col>7</xdr:col>
      <xdr:colOff>19050</xdr:colOff>
      <xdr:row>16</xdr:row>
      <xdr:rowOff>123826</xdr:rowOff>
    </xdr:from>
    <xdr:to>
      <xdr:col>10</xdr:col>
      <xdr:colOff>561975</xdr:colOff>
      <xdr:row>16</xdr:row>
      <xdr:rowOff>895350</xdr:rowOff>
    </xdr:to>
    <xdr:sp macro="[0]!ThisWorkbook.Send_preprod_package_deploy_mail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516350" y="8172451"/>
          <a:ext cx="2371725" cy="7715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</a:t>
          </a:r>
          <a:r>
            <a:rPr lang="tr-TR" sz="1800" baseline="0"/>
            <a:t>PreProd Pa</a:t>
          </a:r>
          <a:r>
            <a:rPr lang="en-US" sz="1800" baseline="0"/>
            <a:t>ckage Deployment</a:t>
          </a:r>
          <a:r>
            <a:rPr lang="tr-TR" sz="1800" baseline="0"/>
            <a:t> Mail</a:t>
          </a:r>
        </a:p>
      </xdr:txBody>
    </xdr:sp>
    <xdr:clientData/>
  </xdr:twoCellAnchor>
  <xdr:twoCellAnchor>
    <xdr:from>
      <xdr:col>6</xdr:col>
      <xdr:colOff>1876425</xdr:colOff>
      <xdr:row>17</xdr:row>
      <xdr:rowOff>76200</xdr:rowOff>
    </xdr:from>
    <xdr:to>
      <xdr:col>10</xdr:col>
      <xdr:colOff>533400</xdr:colOff>
      <xdr:row>17</xdr:row>
      <xdr:rowOff>857250</xdr:rowOff>
    </xdr:to>
    <xdr:sp macro="[0]!ThisWorkbook.Send_preprod_beginning_mail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6487775" y="9134475"/>
          <a:ext cx="2371725" cy="781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</a:t>
          </a:r>
          <a:r>
            <a:rPr lang="tr-TR" sz="1800" baseline="0"/>
            <a:t>PreProd B</a:t>
          </a:r>
          <a:r>
            <a:rPr lang="en-US" sz="1800" baseline="0"/>
            <a:t>eginning</a:t>
          </a:r>
          <a:r>
            <a:rPr lang="tr-TR" sz="1800" baseline="0"/>
            <a:t> Mail</a:t>
          </a:r>
        </a:p>
      </xdr:txBody>
    </xdr:sp>
    <xdr:clientData/>
  </xdr:twoCellAnchor>
  <xdr:twoCellAnchor>
    <xdr:from>
      <xdr:col>7</xdr:col>
      <xdr:colOff>19050</xdr:colOff>
      <xdr:row>14</xdr:row>
      <xdr:rowOff>95251</xdr:rowOff>
    </xdr:from>
    <xdr:to>
      <xdr:col>10</xdr:col>
      <xdr:colOff>561975</xdr:colOff>
      <xdr:row>14</xdr:row>
      <xdr:rowOff>866775</xdr:rowOff>
    </xdr:to>
    <xdr:sp macro="[0]!ThisWorkbook.Send_preprod_package_request_mail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6516350" y="7334251"/>
          <a:ext cx="2371725" cy="7715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</a:t>
          </a:r>
          <a:r>
            <a:rPr lang="tr-TR" sz="1800" baseline="0"/>
            <a:t>PreProd Pa</a:t>
          </a:r>
          <a:r>
            <a:rPr lang="en-US" sz="1800" baseline="0"/>
            <a:t>ckage Request</a:t>
          </a:r>
          <a:r>
            <a:rPr lang="tr-TR" sz="1800" baseline="0"/>
            <a:t> </a:t>
          </a:r>
          <a:r>
            <a:rPr lang="en-US" sz="1800" baseline="0"/>
            <a:t>Mail</a:t>
          </a:r>
        </a:p>
      </xdr:txBody>
    </xdr:sp>
    <xdr:clientData/>
  </xdr:twoCellAnchor>
  <xdr:twoCellAnchor>
    <xdr:from>
      <xdr:col>6</xdr:col>
      <xdr:colOff>1866900</xdr:colOff>
      <xdr:row>18</xdr:row>
      <xdr:rowOff>95249</xdr:rowOff>
    </xdr:from>
    <xdr:to>
      <xdr:col>10</xdr:col>
      <xdr:colOff>571500</xdr:colOff>
      <xdr:row>18</xdr:row>
      <xdr:rowOff>1057274</xdr:rowOff>
    </xdr:to>
    <xdr:sp macro="[0]!ThisWorkbook.Send_postprod_beginning_mail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478250" y="11087099"/>
          <a:ext cx="2419350" cy="962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aseline="0"/>
            <a:t>Send </a:t>
          </a:r>
          <a:r>
            <a:rPr lang="tr-TR" sz="1800" baseline="0"/>
            <a:t>Post Production </a:t>
          </a:r>
          <a:r>
            <a:rPr lang="en-US" sz="1800" baseline="0"/>
            <a:t>Beginning</a:t>
          </a:r>
          <a:r>
            <a:rPr lang="tr-TR" sz="1800" baseline="0"/>
            <a:t> 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example@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36.140625" customWidth="1"/>
    <col min="2" max="2" width="42.7109375" customWidth="1"/>
    <col min="3" max="3" width="30.42578125" customWidth="1"/>
    <col min="4" max="4" width="42.42578125" customWidth="1"/>
    <col min="5" max="5" width="45" customWidth="1"/>
    <col min="6" max="6" width="31.5703125" style="1" customWidth="1"/>
    <col min="7" max="7" width="28.28515625" style="1" customWidth="1"/>
  </cols>
  <sheetData>
    <row r="1" spans="1:7" ht="15.75" x14ac:dyDescent="0.25">
      <c r="A1" s="6" t="s">
        <v>4</v>
      </c>
    </row>
    <row r="2" spans="1:7" ht="15.75" x14ac:dyDescent="0.25">
      <c r="A2" s="6" t="s">
        <v>5</v>
      </c>
      <c r="B2" t="s">
        <v>0</v>
      </c>
      <c r="F2" s="7" t="s">
        <v>10</v>
      </c>
    </row>
    <row r="3" spans="1:7" ht="15.75" x14ac:dyDescent="0.25">
      <c r="A3" s="6" t="s">
        <v>6</v>
      </c>
      <c r="F3" s="10" t="s">
        <v>18</v>
      </c>
    </row>
    <row r="4" spans="1:7" ht="15.75" x14ac:dyDescent="0.25">
      <c r="A4" s="6" t="s">
        <v>7</v>
      </c>
      <c r="F4" s="10"/>
    </row>
    <row r="5" spans="1:7" ht="15.75" x14ac:dyDescent="0.25">
      <c r="A5" s="6" t="s">
        <v>8</v>
      </c>
      <c r="B5" t="s">
        <v>1</v>
      </c>
      <c r="F5" s="10"/>
    </row>
    <row r="6" spans="1:7" ht="15.75" x14ac:dyDescent="0.25">
      <c r="A6" s="6" t="s">
        <v>9</v>
      </c>
      <c r="B6" s="1" t="s">
        <v>2</v>
      </c>
      <c r="F6" s="10"/>
    </row>
    <row r="8" spans="1:7" ht="93" customHeight="1" x14ac:dyDescent="0.25">
      <c r="A8" s="8" t="s">
        <v>11</v>
      </c>
      <c r="B8" s="8" t="s">
        <v>12</v>
      </c>
      <c r="C8" s="8" t="s">
        <v>13</v>
      </c>
      <c r="D8" s="8" t="s">
        <v>14</v>
      </c>
      <c r="E8" s="8" t="s">
        <v>15</v>
      </c>
      <c r="F8" s="8" t="s">
        <v>16</v>
      </c>
      <c r="G8" s="8" t="s">
        <v>17</v>
      </c>
    </row>
    <row r="9" spans="1:7" ht="90" customHeight="1" x14ac:dyDescent="0.25">
      <c r="A9" s="3"/>
      <c r="B9" s="3"/>
      <c r="C9" s="3"/>
      <c r="D9" s="3" t="str">
        <f>IF($B$1="","Please type in Project Name",$B$1&amp;" - T-Size Cost Approval")</f>
        <v>Please type in Project Name</v>
      </c>
      <c r="E9" s="2" t="str">
        <f>IF($B$2="","Please choose T-size of the project","Hello,
Attached you may find the scope canvas of '"&amp;B1&amp;"' request. The t-size cost is" &amp; "'"&amp;B2&amp;"'" &amp; "
Kindly asking for your approval.
Best regards.
")</f>
        <v xml:space="preserve">Hello,
Attached you may find the scope canvas of '' request. The t-size cost is'S(21-50 M/D)'
Kindly asking for your approval.
Best regards.
</v>
      </c>
      <c r="F9" s="5"/>
      <c r="G9" s="5"/>
    </row>
    <row r="10" spans="1:7" ht="90" customHeight="1" x14ac:dyDescent="0.25">
      <c r="A10" s="3"/>
      <c r="B10" s="3"/>
      <c r="C10" s="3"/>
      <c r="D10" s="3" t="str">
        <f>IF($B$1="","Please type in Project Name",$B$1&amp;" - Cost Approval")</f>
        <v>Please type in Project Name</v>
      </c>
      <c r="E10" s="2" t="str">
        <f>IF($B$3="","Lütfen Maliyet girişlerini yapınız","Merhaba,
'"&amp;B1&amp;"' talebi için "&amp;B3&amp;" M/D Intertech + "&amp;B4 &amp;  " M/D HSBC olmak üzere toplam "&amp; SUM(B3,B4) &amp; " M/D maliyet için onayınızı ve BPID bilgisini rica ederiz.
Teşekkürler,
İyi Çalışmalar. 
Ek. "&amp; B1 &amp; " EK ADINI EKLEYİNİZ!!!!!!!
")</f>
        <v>Lütfen Maliyet girişlerini yapınız</v>
      </c>
      <c r="F10" s="4"/>
      <c r="G10" s="4"/>
    </row>
    <row r="11" spans="1:7" ht="90" customHeight="1" x14ac:dyDescent="0.25">
      <c r="A11" s="3"/>
      <c r="B11" s="3"/>
      <c r="C11" s="3"/>
      <c r="D11" s="3" t="str">
        <f>IF($B$1="","Please type in Project Name",$B$1&amp;" - Analysis Approval")</f>
        <v>Please type in Project Name</v>
      </c>
      <c r="E11" s="2" t="str">
        <f>IF($B$1="","Lütfen Proje Adı Alanına Giriş Yapınız","Merhaba,
'"&amp;B1&amp;"' talebinin Analiz dokümanı ektedir. Analiz onayına ilişkin dönüşlerinizi rica ederiz.
"&amp;"
Bankamız prosedürleri gereği, onay mailine, onay verilen analiz dokümanının ve işkolu kabul kriterlerini gösterir senaryo dokümanının eklenmesi gerektiğini hatırlatmak isteriz. "&amp;
"
Teşekkürler,
İyi Çalışmalar. 
Ek. HSBC_İşkolu Senaryo Dokümanı_ Jira
Ek. INT-F 016 A PROJE KAPSAM ANALİZ DOKÜMANI FORMU-"&amp;B1)</f>
        <v>Lütfen Proje Adı Alanına Giriş Yapınız</v>
      </c>
      <c r="G11" s="4"/>
    </row>
    <row r="12" spans="1:7" ht="90" customHeight="1" x14ac:dyDescent="0.25">
      <c r="A12" s="3"/>
      <c r="B12" s="3"/>
      <c r="C12" s="3"/>
      <c r="D12" s="3" t="str">
        <f>IF($B$1="","Please type in Project Name",$B$1&amp;" - Download of UAT Packages")</f>
        <v>Please type in Project Name</v>
      </c>
      <c r="E12" s="2" t="str">
        <f>IF($B$5="","Lütfen UAT Paketlerini yazınız.","Merhaba,
'"&amp;B1&amp;"' talebiyle ilgili olarak aşağıda yer alan paketlerin indirilmesi konusunda desteklerinizi rica ederiz.
" &amp;B5&amp;"
Teşekkürler,
İyi Çalışmalar.
")</f>
        <v xml:space="preserve">Merhaba,
'' talebiyle ilgili olarak aşağıda yer alan paketlerin indirilmesi konusunda desteklerinizi rica ederiz.
HH_HH_HHH
Teşekkürler,
İyi Çalışmalar.
</v>
      </c>
    </row>
    <row r="13" spans="1:7" ht="90" customHeight="1" x14ac:dyDescent="0.25">
      <c r="A13" s="3"/>
      <c r="B13" s="3"/>
      <c r="C13" s="3"/>
      <c r="D13" s="3" t="str">
        <f>IF($B$1="","Please type in Project Name",$B$1&amp;" - Deployment of UAT Packages")</f>
        <v>Please type in Project Name</v>
      </c>
      <c r="E13" s="2" t="str">
        <f>IF($B$5="","Lütfen UAT Paketlerini yazınız.","Merhaba,
"
&amp;B1&amp;"' talebiyle ilgili olarak aşağıda yer alan paketlerin UAT ortamına taşınması konusunda desteklerinizi rica ederiz."&amp;"
"&amp;B5&amp;"
Teşekkürler,
İyi Çalışmalar.
")</f>
        <v xml:space="preserve">Merhaba,
' talebiyle ilgili olarak aşağıda yer alan paketlerin UAT ortamına taşınması konusunda desteklerinizi rica ederiz.
HH_HH_HHH
Teşekkürler,
İyi Çalışmalar.
</v>
      </c>
    </row>
    <row r="14" spans="1:7" ht="90" customHeight="1" x14ac:dyDescent="0.25">
      <c r="A14" s="3"/>
      <c r="B14" s="3"/>
      <c r="C14" s="3"/>
      <c r="D14" s="3" t="str">
        <f>IF($B$1="","Please type in Project Name",$B$1&amp;" - UAT Beginning")</f>
        <v>Please type in Project Name</v>
      </c>
      <c r="E14" s="2" t="str">
        <f>IF($B$1="","Lütfen Proje Adı Alanına Giriş Yapınız","Merhaba,
'"&amp;B1&amp;"' talebiyle ilgili olarak geliştirimler UAT ortamına taşınmıştır. 
UAT ortamı testleri için desteklerinizi rica ederiz. Test sonuçlarını iletirken dönüşünüzü ekli exceli doldurarak yapmanızı rica ederiz.
"&amp;"
Teşekkürler,
İyi Çalışmalar. 
Ek. Test Senaryo Takip Dokumanı_Template
")</f>
        <v>Lütfen Proje Adı Alanına Giriş Yapınız</v>
      </c>
    </row>
    <row r="15" spans="1:7" ht="90" customHeight="1" x14ac:dyDescent="0.25">
      <c r="A15" s="3"/>
      <c r="B15" s="3"/>
      <c r="C15" s="3"/>
      <c r="D15" s="3" t="str">
        <f>IF($B$1="","Please type in Project Name",$B$1&amp;" - PreProd Packages Request")</f>
        <v>Please type in Project Name</v>
      </c>
      <c r="E15" s="2" t="str">
        <f>IF($B$6="","Lütfen PreProd Paketlerini yazınız.","Merhaba,
Jira üzerinden UAT onayı verilen '"&amp;B1&amp;"' talebiyle ilgili olarak PreProd paketlerini rica ederiz.
Teşekkürler,
İyi Çalışmalar.
")</f>
        <v xml:space="preserve">Merhaba,
Jira üzerinden UAT onayı verilen '' talebiyle ilgili olarak PreProd paketlerini rica ederiz.
Teşekkürler,
İyi Çalışmalar.
</v>
      </c>
    </row>
    <row r="16" spans="1:7" ht="90" customHeight="1" x14ac:dyDescent="0.25">
      <c r="A16" s="3"/>
      <c r="B16" s="3"/>
      <c r="C16" s="3"/>
      <c r="D16" s="3" t="str">
        <f>IF($B$1="","Please type in Project Name",$B$1&amp;" - Download of PreProd Packages")</f>
        <v>Please type in Project Name</v>
      </c>
      <c r="E16" s="2" t="str">
        <f>IF($B$6="","Lütfen PreProd Paketlerini yazınız.","Merhaba,
'"&amp;B1&amp;"' talebiyle ilgili olarak aşağıda yer alan paketlerin indirilmesi konusunda desteklerinizi rica ederiz.
" &amp;B6&amp;"
Teşekkürler,
İyi Çalışmalar.
")</f>
        <v xml:space="preserve">Merhaba,
'' talebiyle ilgili olarak aşağıda yer alan paketlerin indirilmesi konusunda desteklerinizi rica ederiz.
UU_UU_UUU
Teşekkürler,
İyi Çalışmalar.
</v>
      </c>
    </row>
    <row r="17" spans="1:5" ht="90" customHeight="1" x14ac:dyDescent="0.25">
      <c r="A17" s="3"/>
      <c r="B17" s="3"/>
      <c r="C17" s="3"/>
      <c r="D17" s="3" t="str">
        <f>IF($B$1="","Please type in Project Name",$B$1&amp;" - Deployment of PreProd Packages")</f>
        <v>Please type in Project Name</v>
      </c>
      <c r="E17" s="2" t="str">
        <f>IF($B$6="","Lütfen PrePRod Paketlerini yazınız.","Merhaba,
"
&amp;B1&amp;"' talebiyle ilgili olarak aşağıda yer alan paketlerin PreProd ortamına taşınması konusunda desteklerinizi rica ederiz."&amp;"
"&amp;B6&amp;"
Teşekkürler,
İyi Çalışmalar.
")</f>
        <v xml:space="preserve">Merhaba,
' talebiyle ilgili olarak aşağıda yer alan paketlerin PreProd ortamına taşınması konusunda desteklerinizi rica ederiz.
UU_UU_UUU
Teşekkürler,
İyi Çalışmalar.
</v>
      </c>
    </row>
    <row r="18" spans="1:5" ht="90" customHeight="1" x14ac:dyDescent="0.25">
      <c r="A18" s="3"/>
      <c r="B18" s="3"/>
      <c r="C18" s="3"/>
      <c r="D18" s="3" t="str">
        <f>IF($B$1="","Please type in Project Name",$B$1&amp;" - PreProd Beginning")</f>
        <v>Please type in Project Name</v>
      </c>
      <c r="E18" s="2" t="str">
        <f>IF($B$1="","Lütfen Proje Adı Alanına Giriş Yapınız","Merhaba,
'"&amp;B1&amp;"' talebiyle ilgili olarak geliştirimler PreProd ortamına taşınmıştır. 
PreProd ortamı testleri için desteklerinizi rica ederiz. PreProd Test sonuçlarını iletirken dönüşünüzü ekli exceli doldurarak yapmanızı rica ederiz.
"&amp;"
Teşekkürler,
İyi Çalışmalar. 
Ek. Test Senaryo Takip Dokumanı_Template
")</f>
        <v>Lütfen Proje Adı Alanına Giriş Yapınız</v>
      </c>
    </row>
    <row r="19" spans="1:5" ht="90" customHeight="1" x14ac:dyDescent="0.25">
      <c r="A19" s="3"/>
      <c r="B19" s="3"/>
      <c r="C19" s="3"/>
      <c r="D19" s="3" t="str">
        <f>IF($B$1="","Please type in Project Name",$B$1&amp;" - Post Production Test Beginning")</f>
        <v>Please type in Project Name</v>
      </c>
      <c r="E19" s="2" t="str">
        <f>IF($B$1="","Lütfen Proje Adı Alanına Giriş Yapınız","Merhaba,
'"&amp;B1&amp;"' talebiyle ilgili olarak geliştirimler production ortamına taşınmıştır. 
Post Production testleri için desteklerinizi rica ederiz. 
"&amp;"
Teşekkürler,
İyi Çalışmalar. 
")</f>
        <v>Lütfen Proje Adı Alanına Giriş Yapınız</v>
      </c>
    </row>
  </sheetData>
  <mergeCells count="1">
    <mergeCell ref="F3:F6"/>
  </mergeCells>
  <dataValidations count="3">
    <dataValidation type="list" allowBlank="1" showInputMessage="1" showErrorMessage="1" sqref="A9:C38" xr:uid="{00000000-0002-0000-0000-000000000000}">
      <formula1>Mail_List</formula1>
    </dataValidation>
    <dataValidation type="list" allowBlank="1" showInputMessage="1" showErrorMessage="1" sqref="B2" xr:uid="{00000000-0002-0000-0000-000001000000}">
      <formula1>"XS(1-20 M/D),S(21-50 M/D),M(51-100 M/D),L(101-200 M/D)"</formula1>
    </dataValidation>
    <dataValidation type="whole" allowBlank="1" showErrorMessage="1" errorTitle="Hata" error="Lütfen 1 ile 1000 arası bir değer giriniz!" prompt="_x000a_" sqref="B3:B4" xr:uid="{00000000-0002-0000-0000-000002000000}">
      <formula1>1</formula1>
      <formula2>1000</formula2>
    </dataValidation>
  </dataValidations>
  <pageMargins left="0.7" right="0.7" top="0.75" bottom="0.75" header="0.3" footer="0.3"/>
  <pageSetup paperSize="9" orientation="portrait" horizontalDpi="180" verticalDpi="180" r:id="rId1"/>
  <headerFooter>
    <oddFooter>&amp;C&amp;1#&amp;"Calibri"&amp;10&amp;K000000INTERNAL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4"/>
  <sheetViews>
    <sheetView workbookViewId="0">
      <selection activeCell="A2" sqref="A2"/>
    </sheetView>
  </sheetViews>
  <sheetFormatPr defaultRowHeight="15" x14ac:dyDescent="0.25"/>
  <cols>
    <col min="1" max="1" width="46.42578125" customWidth="1"/>
    <col min="2" max="2" width="23.42578125" bestFit="1" customWidth="1"/>
  </cols>
  <sheetData>
    <row r="1" spans="1:4" x14ac:dyDescent="0.25">
      <c r="A1" s="9" t="s">
        <v>3</v>
      </c>
    </row>
    <row r="10" spans="1:4" x14ac:dyDescent="0.25">
      <c r="A10" s="9"/>
    </row>
    <row r="12" spans="1:4" x14ac:dyDescent="0.25">
      <c r="A12" s="9"/>
      <c r="D12" s="9"/>
    </row>
    <row r="14" spans="1:4" x14ac:dyDescent="0.25">
      <c r="D14" s="9"/>
    </row>
  </sheetData>
  <dataValidations count="1">
    <dataValidation type="list" allowBlank="1" showInputMessage="1" showErrorMessage="1" sqref="B2" xr:uid="{00000000-0002-0000-0100-000000000000}">
      <formula1>Mail_List</formula1>
    </dataValidation>
  </dataValidations>
  <hyperlinks>
    <hyperlink ref="A1" r:id="rId1" xr:uid="{5E998556-7EAC-4ECA-8CCC-15A3143D61B4}"/>
  </hyperlinks>
  <pageMargins left="0.7" right="0.7" top="0.75" bottom="0.75" header="0.3" footer="0.3"/>
  <pageSetup paperSize="9" orientation="portrait" horizontalDpi="180" verticalDpi="180" r:id="rId2"/>
  <headerFooter>
    <oddFooter>&amp;C&amp;1#&amp;"Calibri"&amp;10&amp;K000000INTERNAL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Mail_List</vt:lpstr>
      <vt:lpstr>Mail_List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 Batuhan</dc:creator>
  <cp:lastModifiedBy>Alp Çagatay Batuhan</cp:lastModifiedBy>
  <dcterms:created xsi:type="dcterms:W3CDTF">2023-05-22T07:21:38Z</dcterms:created>
  <dcterms:modified xsi:type="dcterms:W3CDTF">2023-12-06T20:16:40Z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a8e637f-7bb7-4040-a22f-4e3924ef3558_Enabled">
    <vt:lpwstr>true</vt:lpwstr>
  </property>
  <property fmtid="{D5CDD505-2E9C-101B-9397-08002B2CF9AE}" pid="3" name="MSIP_Label_0a8e637f-7bb7-4040-a22f-4e3924ef3558_SetDate">
    <vt:lpwstr>2023-05-22T17:43:29Z</vt:lpwstr>
  </property>
  <property fmtid="{D5CDD505-2E9C-101B-9397-08002B2CF9AE}" pid="4" name="MSIP_Label_0a8e637f-7bb7-4040-a22f-4e3924ef3558_Method">
    <vt:lpwstr>Privileged</vt:lpwstr>
  </property>
  <property fmtid="{D5CDD505-2E9C-101B-9397-08002B2CF9AE}" pid="5" name="MSIP_Label_0a8e637f-7bb7-4040-a22f-4e3924ef3558_Name">
    <vt:lpwstr>CLAINTERN</vt:lpwstr>
  </property>
  <property fmtid="{D5CDD505-2E9C-101B-9397-08002B2CF9AE}" pid="6" name="MSIP_Label_0a8e637f-7bb7-4040-a22f-4e3924ef3558_SiteId">
    <vt:lpwstr>e0fd434d-ba64-497b-90d2-859c472e1a92</vt:lpwstr>
  </property>
  <property fmtid="{D5CDD505-2E9C-101B-9397-08002B2CF9AE}" pid="7" name="MSIP_Label_0a8e637f-7bb7-4040-a22f-4e3924ef3558_ActionId">
    <vt:lpwstr>e6f156f5-4423-417c-beca-e9cc4e1131cc</vt:lpwstr>
  </property>
  <property fmtid="{D5CDD505-2E9C-101B-9397-08002B2CF9AE}" pid="8" name="MSIP_Label_0a8e637f-7bb7-4040-a22f-4e3924ef3558_ContentBits">
    <vt:lpwstr>2</vt:lpwstr>
  </property>
  <property fmtid="{D5CDD505-2E9C-101B-9397-08002B2CF9AE}" pid="9" name="Classification">
    <vt:lpwstr>INTERNAL</vt:lpwstr>
  </property>
</Properties>
</file>