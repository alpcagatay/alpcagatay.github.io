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029" codeName="{E757BCB4-07E6-AE0B-56E0-F0EEF7A6E26C}"/>
  <workbookPr codeName="ThisWorkbook"/>
  <mc:AlternateContent xmlns:mc="http://schemas.openxmlformats.org/markup-compatibility/2006">
    <mc:Choice Requires="x15">
      <x15ac:absPath xmlns:x15ac="http://schemas.microsoft.com/office/spreadsheetml/2010/11/ac" url="C:\Users\batuh\Desktop\"/>
    </mc:Choice>
  </mc:AlternateContent>
  <xr:revisionPtr revIDLastSave="0" documentId="13_ncr:1_{D55BB7FB-A96B-4140-8FF5-0E89969E5585}" xr6:coauthVersionLast="47" xr6:coauthVersionMax="47" xr10:uidLastSave="{00000000-0000-0000-0000-000000000000}"/>
  <bookViews>
    <workbookView xWindow="-120" yWindow="-120" windowWidth="38640" windowHeight="21120" xr2:uid="{00000000-000D-0000-FFFF-FFFF00000000}"/>
  </bookViews>
  <sheets>
    <sheet name="Sheet1" sheetId="1" r:id="rId1"/>
    <sheet name="Mail_List" sheetId="2" r:id="rId2"/>
  </sheets>
  <definedNames>
    <definedName name="_xlnm._FilterDatabase" localSheetId="1" hidden="1">Mail_List!$D$1:$D$7</definedName>
    <definedName name="Mail_List">Mail_List!$A:$A</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9" i="1" l="1"/>
  <c r="E18" i="1"/>
  <c r="E17" i="1"/>
  <c r="E16" i="1"/>
  <c r="E14" i="1"/>
  <c r="E13" i="1"/>
  <c r="E12" i="1"/>
  <c r="E11" i="1"/>
  <c r="E10" i="1"/>
  <c r="E15" i="1"/>
  <c r="D17" i="1"/>
  <c r="D15" i="1"/>
  <c r="D16" i="1"/>
  <c r="E9" i="1" l="1"/>
  <c r="D19" i="1"/>
  <c r="D18" i="1"/>
  <c r="D14" i="1"/>
  <c r="D13" i="1"/>
  <c r="D12" i="1"/>
  <c r="D11" i="1"/>
  <c r="D10" i="1"/>
  <c r="D9" i="1"/>
</calcChain>
</file>

<file path=xl/sharedStrings.xml><?xml version="1.0" encoding="utf-8"?>
<sst xmlns="http://schemas.openxmlformats.org/spreadsheetml/2006/main" count="17" uniqueCount="17">
  <si>
    <t>example@mail.com</t>
  </si>
  <si>
    <t>Project Name</t>
  </si>
  <si>
    <t>T-Size Cost</t>
  </si>
  <si>
    <t>Vendor Cost</t>
  </si>
  <si>
    <t>Company Cost</t>
  </si>
  <si>
    <t>UAT Packages</t>
  </si>
  <si>
    <t>PreProd Packages</t>
  </si>
  <si>
    <t>How to Copy Path</t>
  </si>
  <si>
    <r>
      <t xml:space="preserve">To
</t>
    </r>
    <r>
      <rPr>
        <i/>
        <sz val="11"/>
        <color theme="1"/>
        <rFont val="Calibri"/>
        <family val="2"/>
        <charset val="162"/>
        <scheme val="minor"/>
      </rPr>
      <t>(Please select the people that the mail will be sent. With every click you can add another recipient. If you add a wrong email you should start from scratch )</t>
    </r>
  </si>
  <si>
    <r>
      <t xml:space="preserve">CC
</t>
    </r>
    <r>
      <rPr>
        <i/>
        <sz val="11"/>
        <color theme="1"/>
        <rFont val="Calibri"/>
        <family val="2"/>
        <charset val="162"/>
        <scheme val="minor"/>
      </rPr>
      <t>(Please select the people that will be in the CC. With every click you can add another recipient. If you add a wrong email you should start from scratch)</t>
    </r>
  </si>
  <si>
    <r>
      <t xml:space="preserve">BCC
</t>
    </r>
    <r>
      <rPr>
        <i/>
        <sz val="11"/>
        <color theme="1"/>
        <rFont val="Calibri"/>
        <family val="2"/>
        <charset val="162"/>
        <scheme val="minor"/>
      </rPr>
      <t>(Please select the people that will be in the BCC. With every click you can add another recipient. If you add a wrong email you should start from scratch )</t>
    </r>
  </si>
  <si>
    <r>
      <t>Mail Subject
(</t>
    </r>
    <r>
      <rPr>
        <i/>
        <sz val="11"/>
        <color theme="1"/>
        <rFont val="Calibri"/>
        <family val="2"/>
        <charset val="162"/>
        <scheme val="minor"/>
      </rPr>
      <t>Automatically generated)</t>
    </r>
  </si>
  <si>
    <r>
      <t xml:space="preserve">Mail Body
</t>
    </r>
    <r>
      <rPr>
        <i/>
        <sz val="11"/>
        <color theme="1"/>
        <rFont val="Calibri"/>
        <family val="2"/>
        <charset val="162"/>
        <scheme val="minor"/>
      </rPr>
      <t>(Automaically generated)</t>
    </r>
  </si>
  <si>
    <r>
      <t xml:space="preserve">Attachment 1
</t>
    </r>
    <r>
      <rPr>
        <i/>
        <sz val="11"/>
        <color theme="1"/>
        <rFont val="Calibri"/>
        <family val="2"/>
        <charset val="162"/>
        <scheme val="minor"/>
      </rPr>
      <t>( Path of the attachment)</t>
    </r>
  </si>
  <si>
    <r>
      <t xml:space="preserve">Attachment 2
</t>
    </r>
    <r>
      <rPr>
        <i/>
        <sz val="11"/>
        <color theme="1"/>
        <rFont val="Calibri"/>
        <family val="2"/>
        <charset val="162"/>
        <scheme val="minor"/>
      </rPr>
      <t>( Path of the attachment)</t>
    </r>
  </si>
  <si>
    <r>
      <t>After selecting the item you need, right click on it then click on "</t>
    </r>
    <r>
      <rPr>
        <b/>
        <sz val="11"/>
        <color theme="1"/>
        <rFont val="Calibri"/>
        <family val="2"/>
        <scheme val="minor"/>
      </rPr>
      <t>Copy as Path</t>
    </r>
    <r>
      <rPr>
        <sz val="11"/>
        <color theme="1"/>
        <rFont val="Calibri"/>
        <family val="2"/>
        <charset val="162"/>
        <scheme val="minor"/>
      </rPr>
      <t>" option.</t>
    </r>
  </si>
  <si>
    <t>C:\Users\batuh\Desktop\CTFL Questions.pptx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</si>
</sst>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charset val="162"/>
      <scheme val="minor"/>
    </font>
    <font>
      <b/>
      <sz val="11"/>
      <color theme="1"/>
      <name val="Calibri"/>
      <family val="2"/>
      <charset val="162"/>
      <scheme val="minor"/>
    </font>
    <font>
      <b/>
      <sz val="12"/>
      <color theme="1"/>
      <name val="Calibri"/>
      <family val="2"/>
      <charset val="162"/>
      <scheme val="minor"/>
    </font>
    <font>
      <i/>
      <sz val="11"/>
      <color theme="1"/>
      <name val="Calibri"/>
      <family val="2"/>
      <charset val="162"/>
      <scheme val="minor"/>
    </font>
    <font>
      <u/>
      <sz val="11"/>
      <color theme="10"/>
      <name val="Calibri"/>
      <family val="2"/>
      <charset val="162"/>
      <scheme val="minor"/>
    </font>
    <font>
      <b/>
      <sz val="11"/>
      <color theme="1"/>
      <name val="Calibri"/>
      <family val="2"/>
      <scheme val="minor"/>
    </font>
  </fonts>
  <fills count="3">
    <fill>
      <patternFill patternType="none"/>
    </fill>
    <fill>
      <patternFill patternType="gray125"/>
    </fill>
    <fill>
      <patternFill patternType="solid">
        <fgColor theme="9" tint="0.59999389629810485"/>
        <bgColor indexed="64"/>
      </patternFill>
    </fill>
  </fills>
  <borders count="1">
    <border>
      <left/>
      <right/>
      <top/>
      <bottom/>
      <diagonal/>
    </border>
  </borders>
  <cellStyleXfs count="2">
    <xf numFmtId="0" fontId="0" fillId="0" borderId="0"/>
    <xf numFmtId="0" fontId="4" fillId="0" borderId="0" applyNumberFormat="0" applyFill="0" applyBorder="0" applyAlignment="0" applyProtection="0"/>
  </cellStyleXfs>
  <cellXfs count="11">
    <xf numFmtId="0" fontId="0" fillId="0" borderId="0" xfId="0"/>
    <xf numFmtId="0" fontId="0" fillId="0" borderId="0" xfId="0" applyAlignment="1">
      <alignment wrapText="1"/>
    </xf>
    <xf numFmtId="0" fontId="0" fillId="0" borderId="0" xfId="0" applyAlignment="1">
      <alignment horizontal="center" vertical="center"/>
    </xf>
    <xf numFmtId="0" fontId="0" fillId="0" borderId="0" xfId="0" applyAlignment="1">
      <alignment horizontal="center" vertical="center" wrapText="1"/>
    </xf>
    <xf numFmtId="49" fontId="0" fillId="0" borderId="0" xfId="0" applyNumberFormat="1" applyAlignment="1">
      <alignment wrapText="1"/>
    </xf>
    <xf numFmtId="49" fontId="0" fillId="0" borderId="0" xfId="0" applyNumberFormat="1" applyAlignment="1">
      <alignment horizontal="center" vertical="center" wrapText="1"/>
    </xf>
    <xf numFmtId="0" fontId="2" fillId="0" borderId="0" xfId="0" applyFont="1" applyAlignment="1">
      <alignment horizontal="left" vertical="center"/>
    </xf>
    <xf numFmtId="0" fontId="1" fillId="0" borderId="0" xfId="0" applyFont="1" applyAlignment="1">
      <alignment horizontal="center" wrapText="1"/>
    </xf>
    <xf numFmtId="0" fontId="1" fillId="2" borderId="0" xfId="0" applyFont="1" applyFill="1" applyAlignment="1">
      <alignment horizontal="center" vertical="center" wrapText="1"/>
    </xf>
    <xf numFmtId="0" fontId="4" fillId="0" borderId="0" xfId="1"/>
    <xf numFmtId="0" fontId="0" fillId="0" borderId="0" xfId="0" applyAlignment="1">
      <alignment horizontal="center"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6</xdr:col>
      <xdr:colOff>1876424</xdr:colOff>
      <xdr:row>8</xdr:row>
      <xdr:rowOff>66675</xdr:rowOff>
    </xdr:from>
    <xdr:to>
      <xdr:col>11</xdr:col>
      <xdr:colOff>19049</xdr:colOff>
      <xdr:row>8</xdr:row>
      <xdr:rowOff>904874</xdr:rowOff>
    </xdr:to>
    <xdr:sp macro="[0]!ThisWorkbook.Send_tsize_cost_mail" textlink="">
      <xdr:nvSpPr>
        <xdr:cNvPr id="2" name="Rounded Rectangle 1">
          <a:extLst>
            <a:ext uri="{FF2B5EF4-FFF2-40B4-BE49-F238E27FC236}">
              <a16:creationId xmlns:a16="http://schemas.microsoft.com/office/drawing/2014/main" id="{00000000-0008-0000-0000-000002000000}"/>
            </a:ext>
          </a:extLst>
        </xdr:cNvPr>
        <xdr:cNvSpPr/>
      </xdr:nvSpPr>
      <xdr:spPr>
        <a:xfrm>
          <a:off x="16487774" y="1590675"/>
          <a:ext cx="2466975" cy="8381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Send </a:t>
          </a:r>
          <a:r>
            <a:rPr lang="tr-TR" sz="1800"/>
            <a:t>T-Size </a:t>
          </a:r>
          <a:r>
            <a:rPr lang="en-US" sz="1800"/>
            <a:t>Cost Approval M</a:t>
          </a:r>
          <a:r>
            <a:rPr lang="tr-TR" sz="1800" baseline="0"/>
            <a:t>ail</a:t>
          </a:r>
          <a:endParaRPr lang="en-US" sz="1800" baseline="0"/>
        </a:p>
      </xdr:txBody>
    </xdr:sp>
    <xdr:clientData/>
  </xdr:twoCellAnchor>
  <xdr:twoCellAnchor>
    <xdr:from>
      <xdr:col>7</xdr:col>
      <xdr:colOff>0</xdr:colOff>
      <xdr:row>9</xdr:row>
      <xdr:rowOff>123826</xdr:rowOff>
    </xdr:from>
    <xdr:to>
      <xdr:col>10</xdr:col>
      <xdr:colOff>600075</xdr:colOff>
      <xdr:row>9</xdr:row>
      <xdr:rowOff>857250</xdr:rowOff>
    </xdr:to>
    <xdr:sp macro="[0]!ThisWorkbook.Send_cost_approval_mail" textlink="">
      <xdr:nvSpPr>
        <xdr:cNvPr id="3" name="Rounded Rectangle 2">
          <a:extLst>
            <a:ext uri="{FF2B5EF4-FFF2-40B4-BE49-F238E27FC236}">
              <a16:creationId xmlns:a16="http://schemas.microsoft.com/office/drawing/2014/main" id="{00000000-0008-0000-0000-000003000000}"/>
            </a:ext>
          </a:extLst>
        </xdr:cNvPr>
        <xdr:cNvSpPr/>
      </xdr:nvSpPr>
      <xdr:spPr>
        <a:xfrm>
          <a:off x="16497300" y="2600326"/>
          <a:ext cx="2428875" cy="73342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Send</a:t>
          </a:r>
          <a:r>
            <a:rPr lang="en-US" sz="1800" baseline="0"/>
            <a:t> Cost Approval Mail</a:t>
          </a:r>
          <a:endParaRPr lang="tr-TR" sz="1800"/>
        </a:p>
      </xdr:txBody>
    </xdr:sp>
    <xdr:clientData/>
  </xdr:twoCellAnchor>
  <xdr:twoCellAnchor>
    <xdr:from>
      <xdr:col>7</xdr:col>
      <xdr:colOff>19051</xdr:colOff>
      <xdr:row>10</xdr:row>
      <xdr:rowOff>85725</xdr:rowOff>
    </xdr:from>
    <xdr:to>
      <xdr:col>11</xdr:col>
      <xdr:colOff>9525</xdr:colOff>
      <xdr:row>10</xdr:row>
      <xdr:rowOff>923925</xdr:rowOff>
    </xdr:to>
    <xdr:sp macro="[0]!ThisWorkbook.Send_analysis_approval_mail" textlink="">
      <xdr:nvSpPr>
        <xdr:cNvPr id="4" name="Rounded Rectangle 3">
          <a:extLst>
            <a:ext uri="{FF2B5EF4-FFF2-40B4-BE49-F238E27FC236}">
              <a16:creationId xmlns:a16="http://schemas.microsoft.com/office/drawing/2014/main" id="{00000000-0008-0000-0000-000004000000}"/>
            </a:ext>
          </a:extLst>
        </xdr:cNvPr>
        <xdr:cNvSpPr/>
      </xdr:nvSpPr>
      <xdr:spPr>
        <a:xfrm>
          <a:off x="16516351" y="3514725"/>
          <a:ext cx="2428874" cy="8382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aseline="0"/>
            <a:t>Send Analysis Approval Mail</a:t>
          </a:r>
          <a:endParaRPr lang="tr-TR" sz="1800" baseline="0"/>
        </a:p>
      </xdr:txBody>
    </xdr:sp>
    <xdr:clientData/>
  </xdr:twoCellAnchor>
  <xdr:twoCellAnchor>
    <xdr:from>
      <xdr:col>7</xdr:col>
      <xdr:colOff>28575</xdr:colOff>
      <xdr:row>13</xdr:row>
      <xdr:rowOff>76200</xdr:rowOff>
    </xdr:from>
    <xdr:to>
      <xdr:col>10</xdr:col>
      <xdr:colOff>571500</xdr:colOff>
      <xdr:row>13</xdr:row>
      <xdr:rowOff>857250</xdr:rowOff>
    </xdr:to>
    <xdr:sp macro="[0]!ThisWorkbook.Send_uat_beginning_mail" textlink="">
      <xdr:nvSpPr>
        <xdr:cNvPr id="5" name="Rounded Rectangle 4">
          <a:extLst>
            <a:ext uri="{FF2B5EF4-FFF2-40B4-BE49-F238E27FC236}">
              <a16:creationId xmlns:a16="http://schemas.microsoft.com/office/drawing/2014/main" id="{00000000-0008-0000-0000-000005000000}"/>
            </a:ext>
          </a:extLst>
        </xdr:cNvPr>
        <xdr:cNvSpPr/>
      </xdr:nvSpPr>
      <xdr:spPr>
        <a:xfrm>
          <a:off x="16525875" y="4457700"/>
          <a:ext cx="2371725" cy="7810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aseline="0"/>
            <a:t>Send </a:t>
          </a:r>
          <a:r>
            <a:rPr lang="tr-TR" sz="1800" baseline="0"/>
            <a:t>UAT </a:t>
          </a:r>
          <a:r>
            <a:rPr lang="en-US" sz="1800" baseline="0"/>
            <a:t>Beginning </a:t>
          </a:r>
          <a:r>
            <a:rPr lang="tr-TR" sz="1800" baseline="0"/>
            <a:t>Mail</a:t>
          </a:r>
        </a:p>
      </xdr:txBody>
    </xdr:sp>
    <xdr:clientData/>
  </xdr:twoCellAnchor>
  <xdr:twoCellAnchor>
    <xdr:from>
      <xdr:col>6</xdr:col>
      <xdr:colOff>1866900</xdr:colOff>
      <xdr:row>11</xdr:row>
      <xdr:rowOff>0</xdr:rowOff>
    </xdr:from>
    <xdr:to>
      <xdr:col>10</xdr:col>
      <xdr:colOff>523875</xdr:colOff>
      <xdr:row>11</xdr:row>
      <xdr:rowOff>781050</xdr:rowOff>
    </xdr:to>
    <xdr:sp macro="[0]!ThisWorkbook.Send_uat_package_download_mail" textlink="">
      <xdr:nvSpPr>
        <xdr:cNvPr id="10" name="Rounded Rectangle 9">
          <a:extLst>
            <a:ext uri="{FF2B5EF4-FFF2-40B4-BE49-F238E27FC236}">
              <a16:creationId xmlns:a16="http://schemas.microsoft.com/office/drawing/2014/main" id="{00000000-0008-0000-0000-00000A000000}"/>
            </a:ext>
          </a:extLst>
        </xdr:cNvPr>
        <xdr:cNvSpPr/>
      </xdr:nvSpPr>
      <xdr:spPr>
        <a:xfrm>
          <a:off x="16478250" y="5334000"/>
          <a:ext cx="2371725" cy="7810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aseline="0"/>
            <a:t>Send </a:t>
          </a:r>
          <a:r>
            <a:rPr lang="tr-TR" sz="1800" baseline="0"/>
            <a:t>UAT Pa</a:t>
          </a:r>
          <a:r>
            <a:rPr lang="en-US" sz="1800" baseline="0"/>
            <a:t>ckage Download</a:t>
          </a:r>
          <a:r>
            <a:rPr lang="tr-TR" sz="1800" baseline="0"/>
            <a:t> Mai</a:t>
          </a:r>
          <a:r>
            <a:rPr lang="en-US" sz="1800" baseline="0"/>
            <a:t>l</a:t>
          </a:r>
          <a:endParaRPr lang="tr-TR" sz="1800" baseline="0"/>
        </a:p>
      </xdr:txBody>
    </xdr:sp>
    <xdr:clientData/>
  </xdr:twoCellAnchor>
  <xdr:twoCellAnchor>
    <xdr:from>
      <xdr:col>7</xdr:col>
      <xdr:colOff>9525</xdr:colOff>
      <xdr:row>12</xdr:row>
      <xdr:rowOff>76201</xdr:rowOff>
    </xdr:from>
    <xdr:to>
      <xdr:col>10</xdr:col>
      <xdr:colOff>552450</xdr:colOff>
      <xdr:row>12</xdr:row>
      <xdr:rowOff>847725</xdr:rowOff>
    </xdr:to>
    <xdr:sp macro="[0]!ThisWorkbook.Send_uat_package_deploy_mail" textlink="">
      <xdr:nvSpPr>
        <xdr:cNvPr id="11" name="Rounded Rectangle 10">
          <a:extLst>
            <a:ext uri="{FF2B5EF4-FFF2-40B4-BE49-F238E27FC236}">
              <a16:creationId xmlns:a16="http://schemas.microsoft.com/office/drawing/2014/main" id="{00000000-0008-0000-0000-00000B000000}"/>
            </a:ext>
          </a:extLst>
        </xdr:cNvPr>
        <xdr:cNvSpPr/>
      </xdr:nvSpPr>
      <xdr:spPr>
        <a:xfrm>
          <a:off x="16506825" y="6334126"/>
          <a:ext cx="2371725" cy="77152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aseline="0"/>
            <a:t>Send </a:t>
          </a:r>
          <a:r>
            <a:rPr lang="tr-TR" sz="1800" baseline="0"/>
            <a:t>UAT Pa</a:t>
          </a:r>
          <a:r>
            <a:rPr lang="en-US" sz="1800" baseline="0"/>
            <a:t>ckage Deployment Mail</a:t>
          </a:r>
          <a:endParaRPr lang="tr-TR" sz="1800" baseline="0"/>
        </a:p>
      </xdr:txBody>
    </xdr:sp>
    <xdr:clientData/>
  </xdr:twoCellAnchor>
  <xdr:twoCellAnchor>
    <xdr:from>
      <xdr:col>7</xdr:col>
      <xdr:colOff>28575</xdr:colOff>
      <xdr:row>15</xdr:row>
      <xdr:rowOff>38101</xdr:rowOff>
    </xdr:from>
    <xdr:to>
      <xdr:col>10</xdr:col>
      <xdr:colOff>571500</xdr:colOff>
      <xdr:row>16</xdr:row>
      <xdr:rowOff>0</xdr:rowOff>
    </xdr:to>
    <xdr:sp macro="[0]!ThisWorkbook.Send_preprod_package_download_mail" textlink="">
      <xdr:nvSpPr>
        <xdr:cNvPr id="13" name="Rounded Rectangle 12">
          <a:extLst>
            <a:ext uri="{FF2B5EF4-FFF2-40B4-BE49-F238E27FC236}">
              <a16:creationId xmlns:a16="http://schemas.microsoft.com/office/drawing/2014/main" id="{00000000-0008-0000-0000-00000D000000}"/>
            </a:ext>
          </a:extLst>
        </xdr:cNvPr>
        <xdr:cNvSpPr/>
      </xdr:nvSpPr>
      <xdr:spPr>
        <a:xfrm>
          <a:off x="16525875" y="7277101"/>
          <a:ext cx="2371725" cy="77152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aseline="0"/>
            <a:t>Send </a:t>
          </a:r>
          <a:r>
            <a:rPr lang="tr-TR" sz="1800" baseline="0"/>
            <a:t>PreProd Pa</a:t>
          </a:r>
          <a:r>
            <a:rPr lang="en-US" sz="1800" baseline="0"/>
            <a:t>ckages Dowload </a:t>
          </a:r>
          <a:r>
            <a:rPr lang="tr-TR" sz="1800" baseline="0"/>
            <a:t>Mail</a:t>
          </a:r>
        </a:p>
      </xdr:txBody>
    </xdr:sp>
    <xdr:clientData/>
  </xdr:twoCellAnchor>
  <xdr:twoCellAnchor>
    <xdr:from>
      <xdr:col>7</xdr:col>
      <xdr:colOff>19050</xdr:colOff>
      <xdr:row>16</xdr:row>
      <xdr:rowOff>123826</xdr:rowOff>
    </xdr:from>
    <xdr:to>
      <xdr:col>10</xdr:col>
      <xdr:colOff>561975</xdr:colOff>
      <xdr:row>16</xdr:row>
      <xdr:rowOff>895350</xdr:rowOff>
    </xdr:to>
    <xdr:sp macro="[0]!ThisWorkbook.Send_preprod_package_deploy_mail" textlink="">
      <xdr:nvSpPr>
        <xdr:cNvPr id="14" name="Rounded Rectangle 13">
          <a:extLst>
            <a:ext uri="{FF2B5EF4-FFF2-40B4-BE49-F238E27FC236}">
              <a16:creationId xmlns:a16="http://schemas.microsoft.com/office/drawing/2014/main" id="{00000000-0008-0000-0000-00000E000000}"/>
            </a:ext>
          </a:extLst>
        </xdr:cNvPr>
        <xdr:cNvSpPr/>
      </xdr:nvSpPr>
      <xdr:spPr>
        <a:xfrm>
          <a:off x="16516350" y="8172451"/>
          <a:ext cx="2371725" cy="77152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aseline="0"/>
            <a:t>Send </a:t>
          </a:r>
          <a:r>
            <a:rPr lang="tr-TR" sz="1800" baseline="0"/>
            <a:t>PreProd Pa</a:t>
          </a:r>
          <a:r>
            <a:rPr lang="en-US" sz="1800" baseline="0"/>
            <a:t>ckage Deployment</a:t>
          </a:r>
          <a:r>
            <a:rPr lang="tr-TR" sz="1800" baseline="0"/>
            <a:t> Mail</a:t>
          </a:r>
        </a:p>
      </xdr:txBody>
    </xdr:sp>
    <xdr:clientData/>
  </xdr:twoCellAnchor>
  <xdr:twoCellAnchor>
    <xdr:from>
      <xdr:col>6</xdr:col>
      <xdr:colOff>1876425</xdr:colOff>
      <xdr:row>17</xdr:row>
      <xdr:rowOff>76200</xdr:rowOff>
    </xdr:from>
    <xdr:to>
      <xdr:col>10</xdr:col>
      <xdr:colOff>533400</xdr:colOff>
      <xdr:row>17</xdr:row>
      <xdr:rowOff>857250</xdr:rowOff>
    </xdr:to>
    <xdr:sp macro="[0]!ThisWorkbook.Send_preprod_beginning_mail" textlink="">
      <xdr:nvSpPr>
        <xdr:cNvPr id="15" name="Rounded Rectangle 14">
          <a:extLst>
            <a:ext uri="{FF2B5EF4-FFF2-40B4-BE49-F238E27FC236}">
              <a16:creationId xmlns:a16="http://schemas.microsoft.com/office/drawing/2014/main" id="{00000000-0008-0000-0000-00000F000000}"/>
            </a:ext>
          </a:extLst>
        </xdr:cNvPr>
        <xdr:cNvSpPr/>
      </xdr:nvSpPr>
      <xdr:spPr>
        <a:xfrm>
          <a:off x="16487775" y="9134475"/>
          <a:ext cx="2371725" cy="7810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aseline="0"/>
            <a:t>Send </a:t>
          </a:r>
          <a:r>
            <a:rPr lang="tr-TR" sz="1800" baseline="0"/>
            <a:t>PreProd B</a:t>
          </a:r>
          <a:r>
            <a:rPr lang="en-US" sz="1800" baseline="0"/>
            <a:t>eginning</a:t>
          </a:r>
          <a:r>
            <a:rPr lang="tr-TR" sz="1800" baseline="0"/>
            <a:t> Mail</a:t>
          </a:r>
        </a:p>
      </xdr:txBody>
    </xdr:sp>
    <xdr:clientData/>
  </xdr:twoCellAnchor>
  <xdr:twoCellAnchor>
    <xdr:from>
      <xdr:col>7</xdr:col>
      <xdr:colOff>19050</xdr:colOff>
      <xdr:row>14</xdr:row>
      <xdr:rowOff>95251</xdr:rowOff>
    </xdr:from>
    <xdr:to>
      <xdr:col>10</xdr:col>
      <xdr:colOff>561975</xdr:colOff>
      <xdr:row>14</xdr:row>
      <xdr:rowOff>866775</xdr:rowOff>
    </xdr:to>
    <xdr:sp macro="[0]!ThisWorkbook.Send_preprod_package_request_mail" textlink="">
      <xdr:nvSpPr>
        <xdr:cNvPr id="16" name="Rounded Rectangle 15">
          <a:extLst>
            <a:ext uri="{FF2B5EF4-FFF2-40B4-BE49-F238E27FC236}">
              <a16:creationId xmlns:a16="http://schemas.microsoft.com/office/drawing/2014/main" id="{00000000-0008-0000-0000-000010000000}"/>
            </a:ext>
          </a:extLst>
        </xdr:cNvPr>
        <xdr:cNvSpPr/>
      </xdr:nvSpPr>
      <xdr:spPr>
        <a:xfrm>
          <a:off x="16516350" y="7334251"/>
          <a:ext cx="2371725" cy="77152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aseline="0"/>
            <a:t>Send </a:t>
          </a:r>
          <a:r>
            <a:rPr lang="tr-TR" sz="1800" baseline="0"/>
            <a:t>PreProd Pa</a:t>
          </a:r>
          <a:r>
            <a:rPr lang="en-US" sz="1800" baseline="0"/>
            <a:t>ckage Request</a:t>
          </a:r>
          <a:r>
            <a:rPr lang="tr-TR" sz="1800" baseline="0"/>
            <a:t> </a:t>
          </a:r>
          <a:r>
            <a:rPr lang="en-US" sz="1800" baseline="0"/>
            <a:t>Mail</a:t>
          </a:r>
        </a:p>
      </xdr:txBody>
    </xdr:sp>
    <xdr:clientData/>
  </xdr:twoCellAnchor>
  <xdr:twoCellAnchor>
    <xdr:from>
      <xdr:col>6</xdr:col>
      <xdr:colOff>1866900</xdr:colOff>
      <xdr:row>18</xdr:row>
      <xdr:rowOff>95249</xdr:rowOff>
    </xdr:from>
    <xdr:to>
      <xdr:col>10</xdr:col>
      <xdr:colOff>571500</xdr:colOff>
      <xdr:row>18</xdr:row>
      <xdr:rowOff>1057274</xdr:rowOff>
    </xdr:to>
    <xdr:sp macro="[0]!ThisWorkbook.Send_postprod_beginning_mail" textlink="">
      <xdr:nvSpPr>
        <xdr:cNvPr id="18" name="Rounded Rectangle 17">
          <a:extLst>
            <a:ext uri="{FF2B5EF4-FFF2-40B4-BE49-F238E27FC236}">
              <a16:creationId xmlns:a16="http://schemas.microsoft.com/office/drawing/2014/main" id="{00000000-0008-0000-0000-000012000000}"/>
            </a:ext>
          </a:extLst>
        </xdr:cNvPr>
        <xdr:cNvSpPr/>
      </xdr:nvSpPr>
      <xdr:spPr>
        <a:xfrm>
          <a:off x="16478250" y="11087099"/>
          <a:ext cx="2419350" cy="9620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aseline="0"/>
            <a:t>Send </a:t>
          </a:r>
          <a:r>
            <a:rPr lang="tr-TR" sz="1800" baseline="0"/>
            <a:t>Post Production </a:t>
          </a:r>
          <a:r>
            <a:rPr lang="en-US" sz="1800" baseline="0"/>
            <a:t>Beginning</a:t>
          </a:r>
          <a:r>
            <a:rPr lang="tr-TR" sz="1800" baseline="0"/>
            <a:t> Mail</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mailto:example@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19"/>
  <sheetViews>
    <sheetView tabSelected="1" topLeftCell="A13" zoomScale="85" zoomScaleNormal="85" workbookViewId="0">
      <selection activeCell="E20" sqref="E20"/>
    </sheetView>
  </sheetViews>
  <sheetFormatPr defaultRowHeight="15" x14ac:dyDescent="0.25"/>
  <cols>
    <col min="1" max="1" width="36.140625" customWidth="1"/>
    <col min="2" max="2" width="42.7109375" customWidth="1"/>
    <col min="3" max="3" width="30.42578125" customWidth="1"/>
    <col min="4" max="4" width="42.42578125" customWidth="1"/>
    <col min="5" max="5" width="45" customWidth="1"/>
    <col min="6" max="6" width="31.5703125" style="1" customWidth="1"/>
    <col min="7" max="7" width="28.28515625" style="1" customWidth="1"/>
  </cols>
  <sheetData>
    <row r="1" spans="1:7" ht="15.75" x14ac:dyDescent="0.25">
      <c r="A1" s="6" t="s">
        <v>1</v>
      </c>
    </row>
    <row r="2" spans="1:7" ht="15.75" x14ac:dyDescent="0.25">
      <c r="A2" s="6" t="s">
        <v>2</v>
      </c>
      <c r="F2" s="7" t="s">
        <v>7</v>
      </c>
    </row>
    <row r="3" spans="1:7" ht="15.75" x14ac:dyDescent="0.25">
      <c r="A3" s="6" t="s">
        <v>3</v>
      </c>
      <c r="F3" s="10" t="s">
        <v>15</v>
      </c>
    </row>
    <row r="4" spans="1:7" ht="15.75" x14ac:dyDescent="0.25">
      <c r="A4" s="6" t="s">
        <v>4</v>
      </c>
      <c r="F4" s="10"/>
    </row>
    <row r="5" spans="1:7" ht="15.75" x14ac:dyDescent="0.25">
      <c r="A5" s="6" t="s">
        <v>5</v>
      </c>
      <c r="F5" s="10"/>
    </row>
    <row r="6" spans="1:7" ht="15.75" x14ac:dyDescent="0.25">
      <c r="A6" s="6" t="s">
        <v>6</v>
      </c>
      <c r="B6" s="1"/>
      <c r="F6" s="10"/>
    </row>
    <row r="8" spans="1:7" ht="93" customHeight="1" x14ac:dyDescent="0.25">
      <c r="A8" s="8" t="s">
        <v>8</v>
      </c>
      <c r="B8" s="8" t="s">
        <v>9</v>
      </c>
      <c r="C8" s="8" t="s">
        <v>10</v>
      </c>
      <c r="D8" s="8" t="s">
        <v>11</v>
      </c>
      <c r="E8" s="8" t="s">
        <v>12</v>
      </c>
      <c r="F8" s="8" t="s">
        <v>13</v>
      </c>
      <c r="G8" s="8" t="s">
        <v>14</v>
      </c>
    </row>
    <row r="9" spans="1:7" ht="90" customHeight="1" x14ac:dyDescent="0.25">
      <c r="A9" s="3"/>
      <c r="B9" s="3"/>
      <c r="C9" s="3"/>
      <c r="D9" s="3" t="str">
        <f>IF($B$1="","Please type in Project Name",$B$1&amp;" - T-Size Cost Approval")</f>
        <v>Please type in Project Name</v>
      </c>
      <c r="E9" s="2" t="str">
        <f>IF($B$2="","Please choose T-size of the project","Hello,
Attached you may find the scope canvas of '"&amp;B1&amp;"' request. The t-size cost is" &amp; "'"&amp;B2&amp;"'" &amp; "
Kindly asking for your approval.
Best regards.
")</f>
        <v>Please choose T-size of the project</v>
      </c>
      <c r="F9" s="5" t="s">
        <v>16</v>
      </c>
      <c r="G9" s="5"/>
    </row>
    <row r="10" spans="1:7" ht="90" customHeight="1" x14ac:dyDescent="0.25">
      <c r="A10" s="3"/>
      <c r="B10" s="3"/>
      <c r="C10" s="3"/>
      <c r="D10" s="3" t="str">
        <f>IF($B$1="","Please type in Project Name",$B$1&amp;" - Cost Approval")</f>
        <v>Please type in Project Name</v>
      </c>
      <c r="E10" s="2" t="str">
        <f>IF($B$3="","Please fill in cost fields","Hello,
For the '"&amp;B1&amp;"' request, we request your approval and BPID information for the total "&amp; SUM(B3,B4) &amp; " M/D cost, including "&amp;B3&amp;" M/D Vendor + "&amp;B4 &amp; " M/D Company.
Thanks,
")</f>
        <v>Please fill in cost fields</v>
      </c>
      <c r="F10" s="4"/>
      <c r="G10" s="4"/>
    </row>
    <row r="11" spans="1:7" ht="90" customHeight="1" x14ac:dyDescent="0.25">
      <c r="A11" s="3"/>
      <c r="B11" s="3"/>
      <c r="C11" s="3"/>
      <c r="D11" s="3" t="str">
        <f>IF($B$1="","Please type in Project Name",$B$1&amp;" - Analysis Approval")</f>
        <v>Please type in Project Name</v>
      </c>
      <c r="E11" s="2" t="str">
        <f>IF($B$1="","Please fill in the Project Name Field","Hello,
The Analysis document for the request '"&amp;B1&amp;"' is attached. We kindly request your feedback regarding analysis approval.
"&amp;"
We would like to remind you that, in accordance with our bank's procedures, the approved analysis document and the scenario document showing the business line acceptance criteria must be attached to the confirmation e-mail. "&amp;
"
Thanks,
")</f>
        <v>Please fill in the Project Name Field</v>
      </c>
      <c r="G11" s="4"/>
    </row>
    <row r="12" spans="1:7" ht="90" customHeight="1" x14ac:dyDescent="0.25">
      <c r="A12" s="3"/>
      <c r="B12" s="3"/>
      <c r="C12" s="3"/>
      <c r="D12" s="3" t="str">
        <f>IF($B$1="","Please type in Project Name",$B$1&amp;" - Download of UAT Packages")</f>
        <v>Please type in Project Name</v>
      </c>
      <c r="E12" s="2" t="str">
        <f>IF($B$5="","Please fill in UAT Packages field","Hello,
Regarding the '"&amp;B1&amp;"' request, we kindly request your support in downloading the packages below.
"&amp;B5&amp;"
Thanks,
")</f>
        <v>Please fill in UAT Packages field</v>
      </c>
    </row>
    <row r="13" spans="1:7" ht="90" customHeight="1" x14ac:dyDescent="0.25">
      <c r="A13" s="3"/>
      <c r="B13" s="3"/>
      <c r="C13" s="3"/>
      <c r="D13" s="3" t="str">
        <f>IF($B$1="","Please type in Project Name",$B$1&amp;" - Deployment of UAT Packages")</f>
        <v>Please type in Project Name</v>
      </c>
      <c r="E13" s="2" t="str">
        <f>IF($B$5="","Please fill in UAT Packages field","Hello,
"&amp;
"Regarding"&amp; B1&amp;"'' request, we kindly request your support in moving the following packages to the UAT environment."&amp;"
"&amp;B5&amp;"
Thanks,
")</f>
        <v>Please fill in UAT Packages field</v>
      </c>
    </row>
    <row r="14" spans="1:7" ht="90" customHeight="1" x14ac:dyDescent="0.25">
      <c r="A14" s="3"/>
      <c r="B14" s="3"/>
      <c r="C14" s="3"/>
      <c r="D14" s="3" t="str">
        <f>IF($B$1="","Please type in Project Name",$B$1&amp;" - UAT Beginning")</f>
        <v>Please type in Project Name</v>
      </c>
      <c r="E14" s="2" t="str">
        <f>IF($B$1="","Please fill in the Project Name Field","Hello,
Developments regarding the '"&amp;B1&amp;"' request have been moved to the UAT environment.
We kindly request your support for UAT environment tests. When submitting the test results, we kindly ask you to return by filling out the attached Excel.
"&amp;"
Thanks,
")</f>
        <v>Please fill in the Project Name Field</v>
      </c>
    </row>
    <row r="15" spans="1:7" ht="90" customHeight="1" x14ac:dyDescent="0.25">
      <c r="A15" s="3"/>
      <c r="B15" s="3"/>
      <c r="C15" s="3"/>
      <c r="D15" s="3" t="str">
        <f>IF($B$1="","Please type in Project Name",$B$1&amp;" - PreProd Packages Request")</f>
        <v>Please type in Project Name</v>
      </c>
      <c r="E15" s="2" t="str">
        <f>IF($B$6="","Please fill in PreProd Packages field.","Merhaba,
Jira üzerinden UAT onayı verilen '"&amp;B1&amp;"' talebiyle ilgili olarak PreProd paketlerini rica ederiz.
Teşekkürler,
İyi Çalışmalar.
")</f>
        <v>Please fill in PreProd Packages field.</v>
      </c>
    </row>
    <row r="16" spans="1:7" ht="90" customHeight="1" x14ac:dyDescent="0.25">
      <c r="A16" s="3"/>
      <c r="B16" s="3"/>
      <c r="C16" s="3"/>
      <c r="D16" s="3" t="str">
        <f>IF($B$1="","Please type in Project Name",$B$1&amp;" - Download of PreProd Packages")</f>
        <v>Please type in Project Name</v>
      </c>
      <c r="E16" s="2" t="str">
        <f>IF($B$6="","Please fill in PreProd Packages field..","Hello,
Regarding the '"&amp;B1&amp;"' request, we kindly request your support in downloading the packages below.
"&amp;B6&amp;"
Thanks,
")</f>
        <v>Please fill in PreProd Packages field..</v>
      </c>
    </row>
    <row r="17" spans="1:5" ht="90" customHeight="1" x14ac:dyDescent="0.25">
      <c r="A17" s="3"/>
      <c r="B17" s="3"/>
      <c r="C17" s="3"/>
      <c r="D17" s="3" t="str">
        <f>IF($B$1="","Please type in Project Name",$B$1&amp;" - Deployment of PreProd Packages")</f>
        <v>Please type in Project Name</v>
      </c>
      <c r="E17" s="2" t="str">
        <f>IF($B$6="","Please fill in PreProd Packages field..","Hello,
"&amp;
"Regarding " &amp;B1&amp;"' request, we kindly request your support in transferring the following packages to the PreProd environment."&amp;"
"&amp;B6&amp;"
Thanks,
")</f>
        <v>Please fill in PreProd Packages field..</v>
      </c>
    </row>
    <row r="18" spans="1:5" ht="90" customHeight="1" x14ac:dyDescent="0.25">
      <c r="A18" s="3"/>
      <c r="B18" s="3"/>
      <c r="C18" s="3"/>
      <c r="D18" s="3" t="str">
        <f>IF($B$1="","Please type in Project Name",$B$1&amp;" - PreProd Beginning")</f>
        <v>Please type in Project Name</v>
      </c>
      <c r="E18" s="2" t="str">
        <f>IF($B$1="","Please fill in the Project Name Field","Hello,
Developments regarding the '"&amp;B1&amp;"' request have been moved to the PreProd environment.
We kindly ask for your support for PreProd environment tests. When submitting PreProd Test results, we kindly request you to return by attaching the test evidences
"&amp;"
Thanks,
")</f>
        <v>Please fill in the Project Name Field</v>
      </c>
    </row>
    <row r="19" spans="1:5" ht="90" customHeight="1" x14ac:dyDescent="0.25">
      <c r="A19" s="3"/>
      <c r="B19" s="3"/>
      <c r="C19" s="3"/>
      <c r="D19" s="3" t="str">
        <f>IF($B$1="","Please type in Project Name",$B$1&amp;" - Post Production Test Beginning")</f>
        <v>Please type in Project Name</v>
      </c>
      <c r="E19" s="2" t="str">
        <f>IF($B$1="","Please fill in the Project Name Field","Hello,
Developments regarding the '"&amp;B1&amp;"' request have been moved to the production environment.
We kindly request your support for Post Production tests.
"&amp;"
Thanks,
")</f>
        <v>Please fill in the Project Name Field</v>
      </c>
    </row>
  </sheetData>
  <mergeCells count="1">
    <mergeCell ref="F3:F6"/>
  </mergeCells>
  <dataValidations count="3">
    <dataValidation type="list" allowBlank="1" showInputMessage="1" showErrorMessage="1" sqref="A9:C38" xr:uid="{00000000-0002-0000-0000-000000000000}">
      <formula1>Mail_List</formula1>
    </dataValidation>
    <dataValidation type="list" allowBlank="1" showInputMessage="1" showErrorMessage="1" sqref="B2" xr:uid="{00000000-0002-0000-0000-000001000000}">
      <formula1>"XS(1-20 M/D),S(21-50 M/D),M(51-100 M/D),L(101-200 M/D)"</formula1>
    </dataValidation>
    <dataValidation type="whole" allowBlank="1" showErrorMessage="1" errorTitle="Hata" error="Lütfen 1 ile 1000 arası bir değer giriniz!" prompt="_x000a_" sqref="B3:B4" xr:uid="{00000000-0002-0000-0000-000002000000}">
      <formula1>1</formula1>
      <formula2>1000</formula2>
    </dataValidation>
  </dataValidations>
  <pageMargins left="0.7" right="0.7" top="0.75" bottom="0.75" header="0.3" footer="0.3"/>
  <pageSetup paperSize="9" orientation="portrait" horizontalDpi="180" verticalDpi="180" r:id="rId1"/>
  <headerFooter>
    <oddFooter>&amp;C&amp;1#&amp;"Calibri"&amp;10&amp;K000000INTERNAL</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14"/>
  <sheetViews>
    <sheetView workbookViewId="0">
      <selection activeCell="A2" sqref="A2"/>
    </sheetView>
  </sheetViews>
  <sheetFormatPr defaultRowHeight="15" x14ac:dyDescent="0.25"/>
  <cols>
    <col min="1" max="1" width="46.42578125" customWidth="1"/>
    <col min="2" max="2" width="23.42578125" bestFit="1" customWidth="1"/>
  </cols>
  <sheetData>
    <row r="1" spans="1:4" x14ac:dyDescent="0.25">
      <c r="A1" s="9" t="s">
        <v>0</v>
      </c>
    </row>
    <row r="10" spans="1:4" x14ac:dyDescent="0.25">
      <c r="A10" s="9"/>
    </row>
    <row r="12" spans="1:4" x14ac:dyDescent="0.25">
      <c r="A12" s="9"/>
      <c r="D12" s="9"/>
    </row>
    <row r="14" spans="1:4" x14ac:dyDescent="0.25">
      <c r="D14" s="9"/>
    </row>
  </sheetData>
  <dataValidations count="1">
    <dataValidation type="list" allowBlank="1" showInputMessage="1" showErrorMessage="1" sqref="B2" xr:uid="{00000000-0002-0000-0100-000000000000}">
      <formula1>Mail_List</formula1>
    </dataValidation>
  </dataValidations>
  <hyperlinks>
    <hyperlink ref="A1" r:id="rId1" xr:uid="{5E998556-7EAC-4ECA-8CCC-15A3143D61B4}"/>
  </hyperlinks>
  <pageMargins left="0.7" right="0.7" top="0.75" bottom="0.75" header="0.3" footer="0.3"/>
  <pageSetup paperSize="9" orientation="portrait" horizontalDpi="180" verticalDpi="180" r:id="rId2"/>
  <headerFooter>
    <oddFooter>&amp;C&amp;1#&amp;"Calibri"&amp;10&amp;K000000INTERNAL</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Sheet1</vt:lpstr>
      <vt:lpstr>Mail_List</vt:lpstr>
      <vt:lpstr>Mail_List</vt:lpstr>
    </vt:vector>
  </TitlesOfParts>
  <Company>HSBC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Alp Batuhan</dc:creator>
  <cp:lastModifiedBy>Alp Çagatay Batuhan</cp:lastModifiedBy>
  <dcterms:created xsi:type="dcterms:W3CDTF">2023-05-22T07:21:38Z</dcterms:created>
  <dcterms:modified xsi:type="dcterms:W3CDTF">2023-12-06T20:54:33Z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0a8e637f-7bb7-4040-a22f-4e3924ef3558_Enabled">
    <vt:lpwstr>true</vt:lpwstr>
  </property>
  <property fmtid="{D5CDD505-2E9C-101B-9397-08002B2CF9AE}" pid="3" name="MSIP_Label_0a8e637f-7bb7-4040-a22f-4e3924ef3558_SetDate">
    <vt:lpwstr>2023-05-22T17:43:29Z</vt:lpwstr>
  </property>
  <property fmtid="{D5CDD505-2E9C-101B-9397-08002B2CF9AE}" pid="4" name="MSIP_Label_0a8e637f-7bb7-4040-a22f-4e3924ef3558_Method">
    <vt:lpwstr>Privileged</vt:lpwstr>
  </property>
  <property fmtid="{D5CDD505-2E9C-101B-9397-08002B2CF9AE}" pid="5" name="MSIP_Label_0a8e637f-7bb7-4040-a22f-4e3924ef3558_Name">
    <vt:lpwstr>CLAINTERN</vt:lpwstr>
  </property>
  <property fmtid="{D5CDD505-2E9C-101B-9397-08002B2CF9AE}" pid="6" name="MSIP_Label_0a8e637f-7bb7-4040-a22f-4e3924ef3558_SiteId">
    <vt:lpwstr>e0fd434d-ba64-497b-90d2-859c472e1a92</vt:lpwstr>
  </property>
  <property fmtid="{D5CDD505-2E9C-101B-9397-08002B2CF9AE}" pid="7" name="MSIP_Label_0a8e637f-7bb7-4040-a22f-4e3924ef3558_ActionId">
    <vt:lpwstr>e6f156f5-4423-417c-beca-e9cc4e1131cc</vt:lpwstr>
  </property>
  <property fmtid="{D5CDD505-2E9C-101B-9397-08002B2CF9AE}" pid="8" name="MSIP_Label_0a8e637f-7bb7-4040-a22f-4e3924ef3558_ContentBits">
    <vt:lpwstr>2</vt:lpwstr>
  </property>
  <property fmtid="{D5CDD505-2E9C-101B-9397-08002B2CF9AE}" pid="9" name="Classification">
    <vt:lpwstr>INTERNAL</vt:lpwstr>
  </property>
</Properties>
</file>